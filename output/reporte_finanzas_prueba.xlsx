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Ingresos" state="visible" r:id="rId5"/>
    <sheet sheetId="3" name="Egresos" state="visible" r:id="rId6"/>
    <sheet sheetId="4" name="Por concepto" state="visible" r:id="rId7"/>
    <sheet sheetId="5" name="Préstamos y deudas" state="visible" r:id="rId8"/>
    <sheet sheetId="6" name="Mensualidades" state="visible" r:id="rId9"/>
    <sheet sheetId="7" name="Estado mensualidades" state="visible" r:id="rId10"/>
  </sheets>
  <calcPr calcId="171027"/>
</workbook>
</file>

<file path=xl/sharedStrings.xml><?xml version="1.0" encoding="utf-8"?>
<sst xmlns="http://schemas.openxmlformats.org/spreadsheetml/2006/main" count="161" uniqueCount="92">
  <si>
    <t>Bomberos Voluntarios Yunka Atoq · Reporte financiero</t>
  </si>
  <si>
    <t>Periodo: 1/10/2026 al 31/10/2026 · generado el 21/10/2026, 11:00:00 a. m.</t>
  </si>
  <si>
    <t>Movimientos del periodo</t>
  </si>
  <si>
    <t>Total ingresos</t>
  </si>
  <si>
    <t>Total egresos</t>
  </si>
  <si>
    <t>Resultado (ingresos − egresos)</t>
  </si>
  <si>
    <t>Cantidad de movimientos</t>
  </si>
  <si>
    <t>Estado actual de caja</t>
  </si>
  <si>
    <t>Saldo en caja</t>
  </si>
  <si>
    <t>Reservado</t>
  </si>
  <si>
    <t>Comprometido (egresos aprobados)</t>
  </si>
  <si>
    <t>Disponible para operar</t>
  </si>
  <si>
    <t>Préstamos y deudas (actual)</t>
  </si>
  <si>
    <t>Deudas pendientes</t>
  </si>
  <si>
    <t>Saldo total por pagar</t>
  </si>
  <si>
    <t>Mensualidades</t>
  </si>
  <si>
    <t>Cobrado en el periodo</t>
  </si>
  <si>
    <t>Meses cobrados en el periodo</t>
  </si>
  <si>
    <t>Voluntarios con deuda (actual)</t>
  </si>
  <si>
    <t>Deuda total de mensualidades (actual)</t>
  </si>
  <si>
    <t>Ingresos</t>
  </si>
  <si>
    <t>Voucher</t>
  </si>
  <si>
    <t>Fecha</t>
  </si>
  <si>
    <t>Concepto</t>
  </si>
  <si>
    <t>Detalle</t>
  </si>
  <si>
    <t>Aportante / voluntario</t>
  </si>
  <si>
    <t>Referencia</t>
  </si>
  <si>
    <t>Registrado por</t>
  </si>
  <si>
    <t>Monto</t>
  </si>
  <si>
    <t>FIN001</t>
  </si>
  <si>
    <t>Donación</t>
  </si>
  <si>
    <t>Movimiento 1</t>
  </si>
  <si>
    <t/>
  </si>
  <si>
    <t>Finanzas</t>
  </si>
  <si>
    <t>FIN002</t>
  </si>
  <si>
    <t>Movimiento 2</t>
  </si>
  <si>
    <t>Juan Pérez</t>
  </si>
  <si>
    <t>FIN003</t>
  </si>
  <si>
    <t>Préstamo recibido</t>
  </si>
  <si>
    <t>Movimiento 3</t>
  </si>
  <si>
    <t>TOTAL</t>
  </si>
  <si>
    <t>Egresos</t>
  </si>
  <si>
    <t>Beneficiario</t>
  </si>
  <si>
    <t>Deuda cubierta</t>
  </si>
  <si>
    <t>FIN004</t>
  </si>
  <si>
    <t>Pago de deuda</t>
  </si>
  <si>
    <t>Movimiento 4</t>
  </si>
  <si>
    <t>Taller Sur</t>
  </si>
  <si>
    <t>FIN005</t>
  </si>
  <si>
    <t>Combustible</t>
  </si>
  <si>
    <t>Movimiento 5</t>
  </si>
  <si>
    <t>Totales por concepto</t>
  </si>
  <si>
    <t>Tipo</t>
  </si>
  <si>
    <t>Nº movimientos</t>
  </si>
  <si>
    <t>Total</t>
  </si>
  <si>
    <t>% del tipo</t>
  </si>
  <si>
    <t>Egreso</t>
  </si>
  <si>
    <t>Ingreso</t>
  </si>
  <si>
    <t>Préstamos y deudas de la institución</t>
  </si>
  <si>
    <t>Estado al 21/10/2026 (incluye todas las deudas)</t>
  </si>
  <si>
    <t>Nº</t>
  </si>
  <si>
    <t>Acreedor</t>
  </si>
  <si>
    <t>Vence</t>
  </si>
  <si>
    <t>Pagado</t>
  </si>
  <si>
    <t>Saldo</t>
  </si>
  <si>
    <t>Estado</t>
  </si>
  <si>
    <t>Voucher ingreso</t>
  </si>
  <si>
    <t>Proveedor</t>
  </si>
  <si>
    <t>Reparación</t>
  </si>
  <si>
    <t>Pendiente</t>
  </si>
  <si>
    <t>Pagos realizados</t>
  </si>
  <si>
    <t>Deuda</t>
  </si>
  <si>
    <t>Sin registros en el periodo</t>
  </si>
  <si>
    <t>Mensualidades cobradas</t>
  </si>
  <si>
    <t>Fecha de cobro</t>
  </si>
  <si>
    <t>Voluntario</t>
  </si>
  <si>
    <t>C.I.</t>
  </si>
  <si>
    <t>Mes pagado</t>
  </si>
  <si>
    <t>123</t>
  </si>
  <si>
    <t>Septiembre 2026</t>
  </si>
  <si>
    <t>Octubre 2026</t>
  </si>
  <si>
    <t>Estado de mensualidades por voluntario</t>
  </si>
  <si>
    <t>Activos y pasivos al 21/10/2026</t>
  </si>
  <si>
    <t>Estado personal</t>
  </si>
  <si>
    <t>Situación</t>
  </si>
  <si>
    <t>Meses vencidos</t>
  </si>
  <si>
    <t>Último mes pagado</t>
  </si>
  <si>
    <t>Último voucher</t>
  </si>
  <si>
    <t>Ana Rojas</t>
  </si>
  <si>
    <t>Pasivo</t>
  </si>
  <si>
    <t>Con deuda</t>
  </si>
  <si>
    <t>Sin 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</si>
</sst>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Bs&quot; #,##0.00"/>
    <numFmt numFmtId="165" formatCode="dd/mm/yyyy hh:mm"/>
    <numFmt numFmtId="166" formatCode="0.0%"/>
    <numFmt numFmtId="167" formatCode="dd/mm/yyyy"/>
  </numFmts>
  <fonts count="7" x14ac:knownFonts="1">
    <font>
      <color theme="1"/>
      <family val="2"/>
      <scheme val="minor"/>
      <sz val="11"/>
      <name val="Calibri"/>
    </font>
    <font>
      <b/>
      <color rgb="FF0B2A4E"/>
      <sz val="14"/>
    </font>
    <font>
      <color rgb="FF65728C"/>
      <sz val="10"/>
    </font>
    <font>
      <b/>
      <color rgb="FF0B2A4E"/>
    </font>
    <font>
      <b/>
    </font>
    <font>
      <b/>
      <color rgb="FFFFFFFF"/>
    </font>
    <font>
      <i/>
      <color rgb="FF65728C"/>
    </font>
  </fonts>
  <fills count="4">
    <fill>
      <patternFill patternType="none"/>
    </fill>
    <fill>
      <patternFill patternType="gray125"/>
    </fill>
    <fill>
      <patternFill patternType="solid">
        <fgColor rgb="FF0B2A4E"/>
      </patternFill>
    </fill>
    <fill>
      <patternFill patternType="solid">
        <fgColor rgb="FFF3F6FA"/>
      </patternFill>
    </fill>
  </fills>
  <borders count="2">
    <border>
      <left/>
      <right/>
      <top/>
      <bottom/>
      <diagonal/>
    </border>
    <border>
      <left/>
      <right/>
      <top style="thin">
        <color rgb="FF0B2A4E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1" fontId="4" fillId="0" borderId="0" xfId="0" applyNumberFormat="1" applyFont="1"/>
    <xf numFmtId="0" fontId="5" fillId="2" borderId="0" xfId="0" applyFont="1" applyFill="1" applyAlignment="1">
      <alignment vertical="center" wrapText="1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0" fillId="3" borderId="0" xfId="0" applyFill="1" applyAlignment="1">
      <alignment vertical="top"/>
    </xf>
    <xf numFmtId="165" fontId="0" fillId="3" borderId="0" xfId="0" applyNumberFormat="1" applyFill="1" applyAlignment="1">
      <alignment vertical="top"/>
    </xf>
    <xf numFmtId="164" fontId="0" fillId="3" borderId="0" xfId="0" applyNumberFormat="1" applyFill="1" applyAlignment="1">
      <alignment vertical="top"/>
    </xf>
    <xf numFmtId="0" fontId="4" fillId="0" borderId="0" xfId="0" applyFont="1"/>
    <xf numFmtId="0" fontId="4" fillId="0" borderId="1" xfId="0" applyFont="1" applyBorder="1"/>
    <xf numFmtId="164" fontId="4" fillId="0" borderId="1" xfId="0" applyNumberFormat="1" applyFont="1" applyBorder="1"/>
    <xf numFmtId="1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1" fontId="0" fillId="3" borderId="0" xfId="0" applyNumberFormat="1" applyFill="1" applyAlignment="1">
      <alignment vertical="top"/>
    </xf>
    <xf numFmtId="166" fontId="0" fillId="3" borderId="0" xfId="0" applyNumberFormat="1" applyFill="1" applyAlignment="1">
      <alignment vertical="top"/>
    </xf>
    <xf numFmtId="167" fontId="0" fillId="0" borderId="0" xfId="0" applyNumberFormat="1" applyAlignment="1">
      <alignment vertical="top"/>
    </xf>
    <xf numFmtId="0" fontId="6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E8B49"/>
  </sheetPr>
  <dimension ref="A1:B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2" x14ac:dyDescent="0.25">
      <c r="A5" t="s">
        <v>3</v>
      </c>
      <c r="B5" s="4">
        <v>1060</v>
      </c>
    </row>
    <row r="6" spans="1:2" x14ac:dyDescent="0.25">
      <c r="A6" t="s">
        <v>4</v>
      </c>
      <c r="B6" s="4">
        <v>400</v>
      </c>
    </row>
    <row r="7" spans="1:2" x14ac:dyDescent="0.25">
      <c r="A7" t="s">
        <v>5</v>
      </c>
      <c r="B7" s="4">
        <v>660</v>
      </c>
    </row>
    <row r="8" spans="1:2" x14ac:dyDescent="0.25">
      <c r="A8" t="s">
        <v>6</v>
      </c>
      <c r="B8" s="5">
        <v>5</v>
      </c>
    </row>
    <row r="10" spans="1:1" x14ac:dyDescent="0.25">
      <c r="A10" s="3" t="s">
        <v>7</v>
      </c>
    </row>
    <row r="11" spans="1:2" x14ac:dyDescent="0.25">
      <c r="A11" t="s">
        <v>8</v>
      </c>
      <c r="B11" s="4">
        <v>660</v>
      </c>
    </row>
    <row r="12" spans="1:2" x14ac:dyDescent="0.25">
      <c r="A12" t="s">
        <v>9</v>
      </c>
      <c r="B12" s="4">
        <v>100</v>
      </c>
    </row>
    <row r="13" spans="1:2" x14ac:dyDescent="0.25">
      <c r="A13" t="s">
        <v>10</v>
      </c>
      <c r="B13" s="4">
        <v>0</v>
      </c>
    </row>
    <row r="14" spans="1:2" x14ac:dyDescent="0.25">
      <c r="A14" t="s">
        <v>11</v>
      </c>
      <c r="B14" s="4">
        <v>560</v>
      </c>
    </row>
    <row r="16" spans="1:1" x14ac:dyDescent="0.25">
      <c r="A16" s="3" t="s">
        <v>12</v>
      </c>
    </row>
    <row r="17" spans="1:2" x14ac:dyDescent="0.25">
      <c r="A17" t="s">
        <v>13</v>
      </c>
      <c r="B17" s="5">
        <v>1</v>
      </c>
    </row>
    <row r="18" spans="1:2" x14ac:dyDescent="0.25">
      <c r="A18" t="s">
        <v>14</v>
      </c>
      <c r="B18" s="4">
        <v>200</v>
      </c>
    </row>
    <row r="20" spans="1:1" x14ac:dyDescent="0.25">
      <c r="A20" s="3" t="s">
        <v>15</v>
      </c>
    </row>
    <row r="21" spans="1:2" x14ac:dyDescent="0.25">
      <c r="A21" t="s">
        <v>16</v>
      </c>
      <c r="B21" s="4">
        <v>60</v>
      </c>
    </row>
    <row r="22" spans="1:2" x14ac:dyDescent="0.25">
      <c r="A22" t="s">
        <v>17</v>
      </c>
      <c r="B22" s="5">
        <v>2</v>
      </c>
    </row>
    <row r="23" spans="1:2" x14ac:dyDescent="0.25">
      <c r="A23" t="s">
        <v>18</v>
      </c>
      <c r="B23" s="5">
        <v>1</v>
      </c>
    </row>
    <row r="24" spans="1:2" x14ac:dyDescent="0.25">
      <c r="A24" t="s">
        <v>19</v>
      </c>
      <c r="B24" s="4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6E4C"/>
  </sheetPr>
  <dimension ref="A1:H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7" customWidth="1"/>
    <col min="3" max="3" width="22" customWidth="1"/>
    <col min="4" max="4" width="48" customWidth="1"/>
    <col min="5" max="5" width="28" customWidth="1"/>
    <col min="6" max="7" width="20" customWidth="1"/>
    <col min="8" max="8" width="14" customWidth="1"/>
  </cols>
  <sheetData>
    <row r="1" spans="1:1" x14ac:dyDescent="0.25">
      <c r="A1" s="1" t="s">
        <v>20</v>
      </c>
    </row>
    <row r="2" spans="1:1" x14ac:dyDescent="0.25">
      <c r="A2" s="2" t="s">
        <v>1</v>
      </c>
    </row>
    <row r="4" ht="20" customHeight="1" spans="1:8" x14ac:dyDescent="0.25">
      <c r="A4" s="6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6" t="s">
        <v>28</v>
      </c>
    </row>
    <row r="5" spans="1:8" x14ac:dyDescent="0.25">
      <c r="A5" s="7" t="s">
        <v>29</v>
      </c>
      <c r="B5" s="8">
        <v>46296.58333333333</v>
      </c>
      <c r="C5" s="7" t="s">
        <v>30</v>
      </c>
      <c r="D5" s="7" t="s">
        <v>31</v>
      </c>
      <c r="E5" s="7" t="s">
        <v>32</v>
      </c>
      <c r="F5" s="7" t="s">
        <v>32</v>
      </c>
      <c r="G5" s="7" t="s">
        <v>33</v>
      </c>
      <c r="H5" s="9">
        <v>500</v>
      </c>
    </row>
    <row r="6" spans="1:8" x14ac:dyDescent="0.25">
      <c r="A6" s="10" t="s">
        <v>34</v>
      </c>
      <c r="B6" s="11">
        <v>46297.58333333333</v>
      </c>
      <c r="C6" s="10" t="s">
        <v>15</v>
      </c>
      <c r="D6" s="10" t="s">
        <v>35</v>
      </c>
      <c r="E6" s="10" t="s">
        <v>36</v>
      </c>
      <c r="F6" s="10" t="s">
        <v>32</v>
      </c>
      <c r="G6" s="10" t="s">
        <v>33</v>
      </c>
      <c r="H6" s="12">
        <v>60</v>
      </c>
    </row>
    <row r="7" spans="1:8" x14ac:dyDescent="0.25">
      <c r="A7" s="7" t="s">
        <v>37</v>
      </c>
      <c r="B7" s="8">
        <v>46298.58333333333</v>
      </c>
      <c r="C7" s="7" t="s">
        <v>38</v>
      </c>
      <c r="D7" s="7" t="s">
        <v>39</v>
      </c>
      <c r="E7" s="7" t="s">
        <v>32</v>
      </c>
      <c r="F7" s="7" t="s">
        <v>32</v>
      </c>
      <c r="G7" s="7" t="s">
        <v>33</v>
      </c>
      <c r="H7" s="9">
        <v>500</v>
      </c>
    </row>
    <row r="8" spans="1:8" s="13" customFormat="1" x14ac:dyDescent="0.25">
      <c r="A8" s="14" t="s">
        <v>40</v>
      </c>
      <c r="H8" s="15">
        <f>SUM(H5:H7)</f>
      </c>
    </row>
  </sheetData>
  <autoFilter ref="A4:H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1E3C"/>
  </sheetPr>
  <dimension ref="A1:I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7" customWidth="1"/>
    <col min="3" max="3" width="22" customWidth="1"/>
    <col min="4" max="4" width="48" customWidth="1"/>
    <col min="5" max="5" width="28" customWidth="1"/>
    <col min="6" max="6" width="24" customWidth="1"/>
    <col min="7" max="8" width="20" customWidth="1"/>
    <col min="9" max="9" width="14" customWidth="1"/>
  </cols>
  <sheetData>
    <row r="1" spans="1:1" x14ac:dyDescent="0.25">
      <c r="A1" s="1" t="s">
        <v>41</v>
      </c>
    </row>
    <row r="2" spans="1:1" x14ac:dyDescent="0.25">
      <c r="A2" s="2" t="s">
        <v>1</v>
      </c>
    </row>
    <row r="4" ht="20" customHeight="1" spans="1:9" x14ac:dyDescent="0.25">
      <c r="A4" s="6" t="s">
        <v>21</v>
      </c>
      <c r="B4" s="6" t="s">
        <v>22</v>
      </c>
      <c r="C4" s="6" t="s">
        <v>23</v>
      </c>
      <c r="D4" s="6" t="s">
        <v>24</v>
      </c>
      <c r="E4" s="6" t="s">
        <v>42</v>
      </c>
      <c r="F4" s="6" t="s">
        <v>43</v>
      </c>
      <c r="G4" s="6" t="s">
        <v>26</v>
      </c>
      <c r="H4" s="6" t="s">
        <v>27</v>
      </c>
      <c r="I4" s="6" t="s">
        <v>28</v>
      </c>
    </row>
    <row r="5" spans="1:9" x14ac:dyDescent="0.25">
      <c r="A5" s="7" t="s">
        <v>44</v>
      </c>
      <c r="B5" s="8">
        <v>46299.58333333333</v>
      </c>
      <c r="C5" s="7" t="s">
        <v>45</v>
      </c>
      <c r="D5" s="7" t="s">
        <v>46</v>
      </c>
      <c r="E5" s="7" t="s">
        <v>32</v>
      </c>
      <c r="F5" s="7" t="s">
        <v>47</v>
      </c>
      <c r="G5" s="7" t="s">
        <v>32</v>
      </c>
      <c r="H5" s="7" t="s">
        <v>33</v>
      </c>
      <c r="I5" s="9">
        <v>300</v>
      </c>
    </row>
    <row r="6" spans="1:9" x14ac:dyDescent="0.25">
      <c r="A6" s="10" t="s">
        <v>48</v>
      </c>
      <c r="B6" s="11">
        <v>46300.58333333333</v>
      </c>
      <c r="C6" s="10" t="s">
        <v>49</v>
      </c>
      <c r="D6" s="10" t="s">
        <v>50</v>
      </c>
      <c r="E6" s="10" t="s">
        <v>32</v>
      </c>
      <c r="F6" s="10" t="s">
        <v>32</v>
      </c>
      <c r="G6" s="10" t="s">
        <v>32</v>
      </c>
      <c r="H6" s="10" t="s">
        <v>33</v>
      </c>
      <c r="I6" s="12">
        <v>100</v>
      </c>
    </row>
    <row r="7" spans="1:9" s="13" customFormat="1" x14ac:dyDescent="0.25">
      <c r="A7" s="14" t="s">
        <v>40</v>
      </c>
      <c r="I7" s="15">
        <f>SUM(I5:I6)</f>
      </c>
    </row>
  </sheetData>
  <autoFilter ref="A4:I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A4E"/>
  </sheetPr>
  <dimension ref="A1:E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4" width="16" customWidth="1"/>
    <col min="5" max="5" width="12" customWidth="1"/>
  </cols>
  <sheetData>
    <row r="1" spans="1:1" x14ac:dyDescent="0.25">
      <c r="A1" s="1" t="s">
        <v>51</v>
      </c>
    </row>
    <row r="2" spans="1:1" x14ac:dyDescent="0.25">
      <c r="A2" s="2" t="s">
        <v>1</v>
      </c>
    </row>
    <row r="4" ht="20" customHeight="1" spans="1:5" x14ac:dyDescent="0.25">
      <c r="A4" s="6" t="s">
        <v>52</v>
      </c>
      <c r="B4" s="6" t="s">
        <v>23</v>
      </c>
      <c r="C4" s="6" t="s">
        <v>53</v>
      </c>
      <c r="D4" s="6" t="s">
        <v>54</v>
      </c>
      <c r="E4" s="6" t="s">
        <v>55</v>
      </c>
    </row>
    <row r="5" spans="1:5" x14ac:dyDescent="0.25">
      <c r="A5" s="7" t="s">
        <v>56</v>
      </c>
      <c r="B5" s="7" t="s">
        <v>45</v>
      </c>
      <c r="C5" s="16">
        <v>1</v>
      </c>
      <c r="D5" s="9">
        <v>300</v>
      </c>
      <c r="E5" s="17">
        <v>0.75</v>
      </c>
    </row>
    <row r="6" spans="1:5" x14ac:dyDescent="0.25">
      <c r="A6" s="10" t="s">
        <v>56</v>
      </c>
      <c r="B6" s="10" t="s">
        <v>49</v>
      </c>
      <c r="C6" s="18">
        <v>1</v>
      </c>
      <c r="D6" s="12">
        <v>100</v>
      </c>
      <c r="E6" s="19">
        <v>0.25</v>
      </c>
    </row>
    <row r="7" spans="1:5" x14ac:dyDescent="0.25">
      <c r="A7" s="7" t="s">
        <v>57</v>
      </c>
      <c r="B7" s="7" t="s">
        <v>30</v>
      </c>
      <c r="C7" s="16">
        <v>1</v>
      </c>
      <c r="D7" s="9">
        <v>500</v>
      </c>
      <c r="E7" s="17">
        <v>0.4716981132075472</v>
      </c>
    </row>
    <row r="8" spans="1:5" x14ac:dyDescent="0.25">
      <c r="A8" s="10" t="s">
        <v>57</v>
      </c>
      <c r="B8" s="10" t="s">
        <v>38</v>
      </c>
      <c r="C8" s="18">
        <v>1</v>
      </c>
      <c r="D8" s="12">
        <v>500</v>
      </c>
      <c r="E8" s="19">
        <v>0.4716981132075472</v>
      </c>
    </row>
    <row r="9" spans="1:5" x14ac:dyDescent="0.25">
      <c r="A9" s="7" t="s">
        <v>57</v>
      </c>
      <c r="B9" s="7" t="s">
        <v>15</v>
      </c>
      <c r="C9" s="16">
        <v>1</v>
      </c>
      <c r="D9" s="9">
        <v>60</v>
      </c>
      <c r="E9" s="17">
        <v>0.05660377358490566</v>
      </c>
    </row>
    <row r="11" spans="2:4" s="13" customFormat="1" x14ac:dyDescent="0.25">
      <c r="B11" s="13" t="s">
        <v>3</v>
      </c>
      <c r="D11" s="4">
        <v>1060</v>
      </c>
    </row>
    <row r="12" spans="2:4" s="13" customFormat="1" x14ac:dyDescent="0.25">
      <c r="B12" s="13" t="s">
        <v>4</v>
      </c>
      <c r="D12" s="4">
        <v>400</v>
      </c>
    </row>
  </sheetData>
  <autoFilter ref="A4:E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E8B49"/>
  </sheetPr>
  <dimension ref="A1:K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8" customWidth="1"/>
    <col min="3" max="3" width="26" customWidth="1"/>
    <col min="4" max="4" width="40" customWidth="1"/>
    <col min="5" max="6" width="12" customWidth="1"/>
    <col min="7" max="9" width="14" customWidth="1"/>
    <col min="10" max="10" width="11" customWidth="1"/>
    <col min="11" max="11" width="15" customWidth="1"/>
  </cols>
  <sheetData>
    <row r="1" spans="1:1" x14ac:dyDescent="0.25">
      <c r="A1" s="1" t="s">
        <v>58</v>
      </c>
    </row>
    <row r="2" spans="1:1" x14ac:dyDescent="0.25">
      <c r="A2" s="2" t="s">
        <v>59</v>
      </c>
    </row>
    <row r="4" ht="20" customHeight="1" spans="1:11" x14ac:dyDescent="0.25">
      <c r="A4" s="6" t="s">
        <v>60</v>
      </c>
      <c r="B4" s="6" t="s">
        <v>52</v>
      </c>
      <c r="C4" s="6" t="s">
        <v>61</v>
      </c>
      <c r="D4" s="6" t="s">
        <v>24</v>
      </c>
      <c r="E4" s="6" t="s">
        <v>22</v>
      </c>
      <c r="F4" s="6" t="s">
        <v>62</v>
      </c>
      <c r="G4" s="6" t="s">
        <v>28</v>
      </c>
      <c r="H4" s="6" t="s">
        <v>63</v>
      </c>
      <c r="I4" s="6" t="s">
        <v>64</v>
      </c>
      <c r="J4" s="6" t="s">
        <v>65</v>
      </c>
      <c r="K4" s="6" t="s">
        <v>66</v>
      </c>
    </row>
    <row r="5" spans="1:11" x14ac:dyDescent="0.25">
      <c r="A5" s="7">
        <v>1</v>
      </c>
      <c r="B5" s="7" t="s">
        <v>67</v>
      </c>
      <c r="C5" s="7" t="s">
        <v>47</v>
      </c>
      <c r="D5" s="7" t="s">
        <v>68</v>
      </c>
      <c r="E5" s="20">
        <v>46296.66666666667</v>
      </c>
      <c r="F5" s="20"/>
      <c r="G5" s="9">
        <v>500</v>
      </c>
      <c r="H5" s="9">
        <v>300</v>
      </c>
      <c r="I5" s="9">
        <v>200</v>
      </c>
      <c r="J5" s="7" t="s">
        <v>69</v>
      </c>
      <c r="K5" s="7" t="s">
        <v>32</v>
      </c>
    </row>
    <row r="6" spans="1:9" s="13" customFormat="1" x14ac:dyDescent="0.25">
      <c r="A6" s="14" t="s">
        <v>40</v>
      </c>
      <c r="G6" s="15">
        <f>SUM(G5:G5)</f>
      </c>
      <c r="H6" s="15">
        <f>SUM(H5:H5)</f>
      </c>
      <c r="I6" s="15">
        <f>SUM(I5:I5)</f>
      </c>
    </row>
    <row r="8" spans="1:1" x14ac:dyDescent="0.25">
      <c r="A8" s="3" t="s">
        <v>70</v>
      </c>
    </row>
    <row r="9" ht="20" customHeight="1" spans="1:7" x14ac:dyDescent="0.25">
      <c r="A9" s="6" t="s">
        <v>71</v>
      </c>
      <c r="B9" s="6" t="s">
        <v>61</v>
      </c>
      <c r="C9" s="6" t="s">
        <v>21</v>
      </c>
      <c r="D9" s="6" t="s">
        <v>22</v>
      </c>
      <c r="E9" s="6" t="s">
        <v>26</v>
      </c>
      <c r="F9" s="6" t="s">
        <v>27</v>
      </c>
      <c r="G9" s="6" t="s">
        <v>28</v>
      </c>
    </row>
    <row r="10" spans="1:7" x14ac:dyDescent="0.25">
      <c r="A10" s="21" t="s">
        <v>72</v>
      </c>
      <c r="B10" s="7" t="s">
        <v>47</v>
      </c>
      <c r="C10" s="7" t="s">
        <v>44</v>
      </c>
      <c r="D10" s="8">
        <v>46299.58333333333</v>
      </c>
      <c r="E10" s="7" t="s">
        <v>32</v>
      </c>
      <c r="F10" s="7" t="s">
        <v>33</v>
      </c>
      <c r="G10" s="9">
        <v>300</v>
      </c>
    </row>
    <row r="12" spans="1:7" s="13" customFormat="1" x14ac:dyDescent="0.25">
      <c r="A12" s="14" t="s">
        <v>40</v>
      </c>
      <c r="G12" s="15">
        <f>SUM(G10:G10)</f>
      </c>
    </row>
  </sheetData>
  <autoFilter ref="A4:K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6E4C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7" customWidth="1"/>
    <col min="3" max="3" width="32" customWidth="1"/>
    <col min="4" max="4" width="14" customWidth="1"/>
    <col min="5" max="5" width="18" customWidth="1"/>
    <col min="6" max="6" width="14" customWidth="1"/>
  </cols>
  <sheetData>
    <row r="1" spans="1:1" x14ac:dyDescent="0.25">
      <c r="A1" s="1" t="s">
        <v>73</v>
      </c>
    </row>
    <row r="2" spans="1:1" x14ac:dyDescent="0.25">
      <c r="A2" s="2" t="s">
        <v>1</v>
      </c>
    </row>
    <row r="4" ht="20" customHeight="1" spans="1:6" x14ac:dyDescent="0.25">
      <c r="A4" s="6" t="s">
        <v>21</v>
      </c>
      <c r="B4" s="6" t="s">
        <v>74</v>
      </c>
      <c r="C4" s="6" t="s">
        <v>75</v>
      </c>
      <c r="D4" s="6" t="s">
        <v>76</v>
      </c>
      <c r="E4" s="6" t="s">
        <v>77</v>
      </c>
      <c r="F4" s="6" t="s">
        <v>28</v>
      </c>
    </row>
    <row r="5" spans="1:6" x14ac:dyDescent="0.25">
      <c r="A5" s="7" t="s">
        <v>34</v>
      </c>
      <c r="B5" s="8">
        <v>46297.58333333333</v>
      </c>
      <c r="C5" s="7" t="s">
        <v>36</v>
      </c>
      <c r="D5" s="7" t="s">
        <v>78</v>
      </c>
      <c r="E5" s="7" t="s">
        <v>79</v>
      </c>
      <c r="F5" s="9">
        <v>30</v>
      </c>
    </row>
    <row r="6" spans="1:6" x14ac:dyDescent="0.25">
      <c r="A6" s="10" t="s">
        <v>34</v>
      </c>
      <c r="B6" s="11">
        <v>46297.58333333333</v>
      </c>
      <c r="C6" s="10" t="s">
        <v>36</v>
      </c>
      <c r="D6" s="10" t="s">
        <v>78</v>
      </c>
      <c r="E6" s="10" t="s">
        <v>80</v>
      </c>
      <c r="F6" s="12">
        <v>30</v>
      </c>
    </row>
    <row r="7" spans="1:6" s="13" customFormat="1" x14ac:dyDescent="0.25">
      <c r="A7" s="14" t="s">
        <v>40</v>
      </c>
      <c r="F7" s="15">
        <f>SUM(F5:F6)</f>
      </c>
    </row>
  </sheetData>
  <autoFilter ref="A4:F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1E3C"/>
  </sheetPr>
  <dimension ref="A1:H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15" customWidth="1"/>
    <col min="4" max="4" width="12" customWidth="1"/>
    <col min="5" max="5" width="15" customWidth="1"/>
    <col min="6" max="6" width="14" customWidth="1"/>
    <col min="7" max="7" width="18" customWidth="1"/>
    <col min="8" max="8" width="14" customWidth="1"/>
  </cols>
  <sheetData>
    <row r="1" spans="1:1" x14ac:dyDescent="0.25">
      <c r="A1" s="1" t="s">
        <v>81</v>
      </c>
    </row>
    <row r="2" spans="1:1" x14ac:dyDescent="0.25">
      <c r="A2" s="2" t="s">
        <v>82</v>
      </c>
    </row>
    <row r="4" ht="20" customHeight="1" spans="1:8" x14ac:dyDescent="0.25">
      <c r="A4" s="6" t="s">
        <v>75</v>
      </c>
      <c r="B4" s="6" t="s">
        <v>76</v>
      </c>
      <c r="C4" s="6" t="s">
        <v>83</v>
      </c>
      <c r="D4" s="6" t="s">
        <v>84</v>
      </c>
      <c r="E4" s="6" t="s">
        <v>85</v>
      </c>
      <c r="F4" s="6" t="s">
        <v>71</v>
      </c>
      <c r="G4" s="6" t="s">
        <v>86</v>
      </c>
      <c r="H4" s="6" t="s">
        <v>87</v>
      </c>
    </row>
    <row r="5" spans="1:8" x14ac:dyDescent="0.25">
      <c r="A5" s="7" t="s">
        <v>88</v>
      </c>
      <c r="B5" s="7" t="s">
        <v>32</v>
      </c>
      <c r="C5" s="7" t="s">
        <v>89</v>
      </c>
      <c r="D5" s="7" t="s">
        <v>90</v>
      </c>
      <c r="E5" s="16">
        <v>2</v>
      </c>
      <c r="F5" s="9">
        <v>60</v>
      </c>
      <c r="G5" s="7" t="s">
        <v>91</v>
      </c>
      <c r="H5" s="7" t="s">
        <v>32</v>
      </c>
    </row>
    <row r="6" spans="1:6" s="13" customFormat="1" x14ac:dyDescent="0.25">
      <c r="A6" s="14" t="s">
        <v>40</v>
      </c>
      <c r="F6" s="15">
        <f>SUM(F5:F5)</f>
      </c>
    </row>
  </sheetData>
  <autoFilter ref="A4:H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Ingresos</vt:lpstr>
      <vt:lpstr>Egresos</vt:lpstr>
      <vt:lpstr>Por concepto</vt:lpstr>
      <vt:lpstr>Préstamos y deudas</vt:lpstr>
      <vt:lpstr>Mensualidades</vt:lpstr>
      <vt:lpstr>Estado mensualidades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Yunka Atoq · Finanzas</dc:creator>
  <dc:title/>
  <dc:subject/>
  <dc:description/>
  <cp:keywords/>
  <cp:category/>
  <cp:lastModifiedBy>Unknown</cp:lastModifiedBy>
  <dcterms:created xsi:type="dcterms:W3CDTF">2026-10-21T12:17:37Z</dcterms:created>
  <dcterms:modified xsi:type="dcterms:W3CDTF">2026-10-21T12:17:37Z</dcterms:modified>
</cp:coreProperties>
</file>